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atriz.borges\Downloads\"/>
    </mc:Choice>
  </mc:AlternateContent>
  <xr:revisionPtr revIDLastSave="0" documentId="8_{116ECAE0-FA58-41D3-8E40-50E8737ACBC1}" xr6:coauthVersionLast="47" xr6:coauthVersionMax="47" xr10:uidLastSave="{00000000-0000-0000-0000-000000000000}"/>
  <bookViews>
    <workbookView xWindow="28680" yWindow="-120" windowWidth="20730" windowHeight="11040" xr2:uid="{D60A617C-865E-4B27-A5C3-FE02298BCACA}"/>
  </bookViews>
  <sheets>
    <sheet name="Sheet1" sheetId="1" r:id="rId1"/>
    <sheet name="Sheet2" sheetId="2" r:id="rId2"/>
  </sheets>
  <definedNames>
    <definedName name="aporte">Sheet1!$D$17</definedName>
    <definedName name="patrimonio">Sheet1!$D$20</definedName>
    <definedName name="qta_anos">Sheet1!$D$18</definedName>
    <definedName name="rendimento_carteira">Sheet1!$D$13</definedName>
    <definedName name="salario">Sheet1!$D$12</definedName>
    <definedName name="sugestao_investimento">Sheet1!$D$14</definedName>
    <definedName name="taxa_mensal">Sheet1!$D$19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3" i="1" l="1"/>
  <c r="C37" i="1"/>
  <c r="C38" i="1"/>
  <c r="C39" i="1"/>
  <c r="C40" i="1"/>
  <c r="C41" i="1"/>
  <c r="C36" i="1"/>
  <c r="I4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D20" i="1"/>
  <c r="D21" i="1" s="1"/>
  <c r="D14" i="1"/>
  <c r="C25" i="1"/>
  <c r="D25" i="1" s="1"/>
  <c r="C26" i="1"/>
  <c r="D26" i="1" s="1"/>
  <c r="C27" i="1"/>
  <c r="D27" i="1" s="1"/>
  <c r="C28" i="1"/>
  <c r="D28" i="1" s="1"/>
  <c r="C24" i="1"/>
  <c r="D24" i="1" s="1"/>
  <c r="D36" i="1" l="1"/>
  <c r="D38" i="1"/>
  <c r="D41" i="1"/>
  <c r="D40" i="1"/>
  <c r="D39" i="1"/>
  <c r="D37" i="1"/>
  <c r="D42" i="1" l="1"/>
</calcChain>
</file>

<file path=xl/sharedStrings.xml><?xml version="1.0" encoding="utf-8"?>
<sst xmlns="http://schemas.openxmlformats.org/spreadsheetml/2006/main" count="71" uniqueCount="35">
  <si>
    <t>Quanto investir por mês?</t>
  </si>
  <si>
    <t>Por quantos anos?</t>
  </si>
  <si>
    <t>Taxa de rendimento mensal?</t>
  </si>
  <si>
    <t>Patrimônio acumulado?</t>
  </si>
  <si>
    <t>Dvidendos mensais?</t>
  </si>
  <si>
    <t>Quantos em 2 anos?</t>
  </si>
  <si>
    <t>Quantos em 5 anos?</t>
  </si>
  <si>
    <t>Quantos em 10 anos?</t>
  </si>
  <si>
    <t>Quantos em 20 anos?</t>
  </si>
  <si>
    <t>Quantos em 30 anos?</t>
  </si>
  <si>
    <t>Cenários</t>
  </si>
  <si>
    <t>Dividendo</t>
  </si>
  <si>
    <t>Salário</t>
  </si>
  <si>
    <t>Rendimento Carteira</t>
  </si>
  <si>
    <t>Sugestão de Investimento</t>
  </si>
  <si>
    <t>CONFIGURAÇÕES</t>
  </si>
  <si>
    <t>INVESTIMENTO MENSAL</t>
  </si>
  <si>
    <t>Perfil</t>
  </si>
  <si>
    <t>Agressivo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</si>
  <si>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</si>
  <si>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</si>
  <si>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</si>
  <si>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</si>
  <si>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</si>
  <si>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</si>
  <si>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</si>
  <si>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</si>
  <si>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</si>
  <si>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</si>
  <si>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Conservador</t>
  </si>
  <si>
    <t>Tipode de FII</t>
  </si>
  <si>
    <t>%</t>
  </si>
  <si>
    <t>CHAVE</t>
  </si>
  <si>
    <t>Moderado</t>
  </si>
  <si>
    <t>Moderado-Tijolo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</si>
</sst>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0.0%"/>
    <numFmt numFmtId="170" formatCode="[$R$-416]\ #,##0.00"/>
    <numFmt numFmtId="171" formatCode="[$R$-416]\ #,##0.00;[Red]\-[$R$-416]\ #,##0.00"/>
  </numFmts>
  <fonts count="9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0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/>
      <top/>
      <bottom style="thin">
        <color theme="0" tint="-0.14996795556505021"/>
      </bottom>
      <diagonal/>
    </border>
    <border>
      <left style="medium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/>
      <right/>
      <top style="thin">
        <color theme="0" tint="-0.14996795556505021"/>
      </top>
      <bottom style="medium">
        <color indexed="64"/>
      </bottom>
      <diagonal/>
    </border>
    <border>
      <left/>
      <right/>
      <top/>
      <bottom style="thin">
        <color theme="2"/>
      </bottom>
      <diagonal/>
    </border>
    <border>
      <left style="medium">
        <color indexed="64"/>
      </left>
      <right/>
      <top/>
      <bottom style="thin">
        <color theme="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14996795556505021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center"/>
    </xf>
    <xf numFmtId="0" fontId="3" fillId="5" borderId="0" xfId="0" applyFont="1" applyFill="1"/>
    <xf numFmtId="0" fontId="6" fillId="3" borderId="1" xfId="0" applyFont="1" applyFill="1" applyBorder="1" applyAlignment="1">
      <alignment vertical="center"/>
    </xf>
    <xf numFmtId="0" fontId="4" fillId="5" borderId="0" xfId="0" applyFont="1" applyFill="1" applyAlignment="1"/>
    <xf numFmtId="170" fontId="0" fillId="0" borderId="0" xfId="0" applyNumberFormat="1"/>
    <xf numFmtId="0" fontId="8" fillId="4" borderId="2" xfId="0" applyFont="1" applyFill="1" applyBorder="1" applyAlignment="1">
      <alignment horizontal="left"/>
    </xf>
    <xf numFmtId="0" fontId="7" fillId="7" borderId="15" xfId="0" applyFont="1" applyFill="1" applyBorder="1" applyAlignment="1">
      <alignment horizontal="left"/>
    </xf>
    <xf numFmtId="0" fontId="7" fillId="7" borderId="16" xfId="0" applyFont="1" applyFill="1" applyBorder="1" applyAlignment="1">
      <alignment horizontal="left"/>
    </xf>
    <xf numFmtId="171" fontId="8" fillId="4" borderId="13" xfId="0" applyNumberFormat="1" applyFont="1" applyFill="1" applyBorder="1" applyAlignment="1">
      <alignment horizontal="center"/>
    </xf>
    <xf numFmtId="171" fontId="8" fillId="4" borderId="14" xfId="0" applyNumberFormat="1" applyFont="1" applyFill="1" applyBorder="1" applyAlignment="1">
      <alignment horizontal="center"/>
    </xf>
    <xf numFmtId="0" fontId="7" fillId="7" borderId="17" xfId="0" applyFont="1" applyFill="1" applyBorder="1" applyAlignment="1">
      <alignment horizontal="left"/>
    </xf>
    <xf numFmtId="0" fontId="7" fillId="7" borderId="18" xfId="0" applyFont="1" applyFill="1" applyBorder="1" applyAlignment="1">
      <alignment horizontal="left"/>
    </xf>
    <xf numFmtId="0" fontId="7" fillId="7" borderId="19" xfId="0" applyFont="1" applyFill="1" applyBorder="1" applyAlignment="1">
      <alignment horizontal="left"/>
    </xf>
    <xf numFmtId="0" fontId="7" fillId="7" borderId="20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21" xfId="0" applyFont="1" applyFill="1" applyBorder="1" applyAlignment="1">
      <alignment horizontal="left"/>
    </xf>
    <xf numFmtId="0" fontId="8" fillId="4" borderId="22" xfId="0" applyFont="1" applyFill="1" applyBorder="1" applyAlignment="1">
      <alignment horizontal="left"/>
    </xf>
    <xf numFmtId="0" fontId="7" fillId="7" borderId="17" xfId="0" applyFont="1" applyFill="1" applyBorder="1" applyAlignment="1">
      <alignment horizontal="left"/>
    </xf>
    <xf numFmtId="170" fontId="7" fillId="7" borderId="12" xfId="0" applyNumberFormat="1" applyFont="1" applyFill="1" applyBorder="1" applyAlignment="1">
      <alignment horizontal="center"/>
    </xf>
    <xf numFmtId="164" fontId="7" fillId="7" borderId="13" xfId="0" applyNumberFormat="1" applyFont="1" applyFill="1" applyBorder="1" applyAlignment="1">
      <alignment horizontal="center"/>
    </xf>
    <xf numFmtId="170" fontId="7" fillId="7" borderId="14" xfId="0" applyNumberFormat="1" applyFont="1" applyFill="1" applyBorder="1" applyAlignment="1">
      <alignment horizontal="center"/>
    </xf>
    <xf numFmtId="8" fontId="7" fillId="7" borderId="10" xfId="0" applyNumberFormat="1" applyFont="1" applyFill="1" applyBorder="1" applyAlignment="1">
      <alignment horizontal="center"/>
    </xf>
    <xf numFmtId="8" fontId="7" fillId="7" borderId="3" xfId="0" applyNumberFormat="1" applyFont="1" applyFill="1" applyBorder="1" applyAlignment="1">
      <alignment horizontal="center"/>
    </xf>
    <xf numFmtId="8" fontId="7" fillId="7" borderId="9" xfId="0" applyNumberFormat="1" applyFont="1" applyFill="1" applyBorder="1" applyAlignment="1">
      <alignment horizontal="center"/>
    </xf>
    <xf numFmtId="8" fontId="7" fillId="7" borderId="4" xfId="0" applyNumberFormat="1" applyFont="1" applyFill="1" applyBorder="1" applyAlignment="1">
      <alignment horizontal="center"/>
    </xf>
    <xf numFmtId="8" fontId="7" fillId="7" borderId="11" xfId="0" applyNumberFormat="1" applyFont="1" applyFill="1" applyBorder="1" applyAlignment="1">
      <alignment horizontal="center"/>
    </xf>
    <xf numFmtId="8" fontId="7" fillId="7" borderId="5" xfId="0" applyNumberFormat="1" applyFont="1" applyFill="1" applyBorder="1" applyAlignment="1">
      <alignment horizontal="center"/>
    </xf>
    <xf numFmtId="0" fontId="8" fillId="7" borderId="13" xfId="0" applyFont="1" applyFill="1" applyBorder="1" applyAlignment="1">
      <alignment horizontal="center"/>
    </xf>
    <xf numFmtId="10" fontId="8" fillId="7" borderId="13" xfId="0" applyNumberFormat="1" applyFont="1" applyFill="1" applyBorder="1" applyAlignment="1">
      <alignment horizontal="center"/>
    </xf>
    <xf numFmtId="0" fontId="4" fillId="3" borderId="8" xfId="0" applyFont="1" applyFill="1" applyBorder="1" applyAlignment="1">
      <alignment vertical="center"/>
    </xf>
    <xf numFmtId="0" fontId="5" fillId="3" borderId="23" xfId="0" applyFont="1" applyFill="1" applyBorder="1" applyAlignment="1">
      <alignment vertical="center"/>
    </xf>
    <xf numFmtId="0" fontId="7" fillId="7" borderId="24" xfId="0" applyFont="1" applyFill="1" applyBorder="1" applyAlignment="1">
      <alignment horizontal="left"/>
    </xf>
    <xf numFmtId="170" fontId="8" fillId="7" borderId="12" xfId="0" applyNumberFormat="1" applyFont="1" applyFill="1" applyBorder="1" applyAlignment="1">
      <alignment horizontal="center"/>
    </xf>
    <xf numFmtId="0" fontId="5" fillId="3" borderId="23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6" borderId="23" xfId="0" applyFont="1" applyFill="1" applyBorder="1" applyAlignment="1">
      <alignment horizontal="center"/>
    </xf>
    <xf numFmtId="0" fontId="5" fillId="6" borderId="25" xfId="0" applyFont="1" applyFill="1" applyBorder="1" applyAlignment="1">
      <alignment horizontal="center"/>
    </xf>
    <xf numFmtId="0" fontId="5" fillId="6" borderId="7" xfId="0" applyFont="1" applyFill="1" applyBorder="1" applyAlignment="1">
      <alignment horizontal="center"/>
    </xf>
    <xf numFmtId="0" fontId="1" fillId="2" borderId="0" xfId="1"/>
    <xf numFmtId="0" fontId="0" fillId="7" borderId="0" xfId="0" applyFill="1"/>
    <xf numFmtId="0" fontId="1" fillId="2" borderId="0" xfId="1" applyAlignment="1">
      <alignment horizontal="center"/>
    </xf>
    <xf numFmtId="9" fontId="0" fillId="0" borderId="0" xfId="0" applyNumberFormat="1"/>
    <xf numFmtId="0" fontId="2" fillId="7" borderId="0" xfId="0" applyFont="1" applyFill="1"/>
    <xf numFmtId="170" fontId="2" fillId="7" borderId="0" xfId="0" applyNumberFormat="1" applyFont="1" applyFill="1" applyAlignment="1">
      <alignment horizontal="center"/>
    </xf>
    <xf numFmtId="170" fontId="0" fillId="4" borderId="0" xfId="0" applyNumberFormat="1" applyFill="1"/>
    <xf numFmtId="0" fontId="0" fillId="4" borderId="0" xfId="0" applyFill="1"/>
    <xf numFmtId="0" fontId="2" fillId="4" borderId="0" xfId="0" applyFont="1" applyFill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left" vertical="center"/>
    </xf>
    <xf numFmtId="0" fontId="0" fillId="0" borderId="8" xfId="0" applyBorder="1" applyAlignment="1">
      <alignment horizontal="center"/>
    </xf>
    <xf numFmtId="9" fontId="0" fillId="0" borderId="8" xfId="0" applyNumberFormat="1" applyBorder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Sheet1!$C$35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Sheet1!$C$36:$C$41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BC-406A-8433-5FE45C21D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85725</xdr:rowOff>
    </xdr:from>
    <xdr:to>
      <xdr:col>4</xdr:col>
      <xdr:colOff>863600</xdr:colOff>
      <xdr:row>9</xdr:row>
      <xdr:rowOff>115994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A227C1-A6D6-C5E0-1228-E968A65AD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85725"/>
          <a:ext cx="6572250" cy="1659044"/>
        </a:xfrm>
        <a:prstGeom prst="rect">
          <a:avLst/>
        </a:prstGeom>
      </xdr:spPr>
    </xdr:pic>
    <xdr:clientData/>
  </xdr:twoCellAnchor>
  <xdr:twoCellAnchor>
    <xdr:from>
      <xdr:col>1</xdr:col>
      <xdr:colOff>303212</xdr:colOff>
      <xdr:row>43</xdr:row>
      <xdr:rowOff>1587</xdr:rowOff>
    </xdr:from>
    <xdr:to>
      <xdr:col>3</xdr:col>
      <xdr:colOff>36512</xdr:colOff>
      <xdr:row>58</xdr:row>
      <xdr:rowOff>17462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661F3EF-9AA7-2E39-B9E6-4582A8F22B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09AC9-ABFA-4409-823D-07734B6C6F81}">
  <dimension ref="A10:H65"/>
  <sheetViews>
    <sheetView showGridLines="0" tabSelected="1" topLeftCell="A32" workbookViewId="0">
      <selection activeCell="C32" sqref="C32"/>
    </sheetView>
  </sheetViews>
  <sheetFormatPr defaultColWidth="0" defaultRowHeight="14.5" x14ac:dyDescent="0.35"/>
  <cols>
    <col min="1" max="1" width="8.7265625" customWidth="1"/>
    <col min="2" max="2" width="47.453125" customWidth="1"/>
    <col min="3" max="3" width="21.81640625" customWidth="1"/>
    <col min="4" max="4" width="12.54296875" bestFit="1" customWidth="1"/>
    <col min="5" max="5" width="22.6328125" bestFit="1" customWidth="1"/>
    <col min="6" max="6" width="13.81640625" customWidth="1"/>
    <col min="7" max="9" width="8.7265625" customWidth="1"/>
    <col min="10" max="11" width="8.7265625" hidden="1" customWidth="1"/>
    <col min="12" max="16384" width="8.7265625" hidden="1"/>
  </cols>
  <sheetData>
    <row r="10" spans="2:7" ht="15" thickBot="1" x14ac:dyDescent="0.4"/>
    <row r="11" spans="2:7" ht="26.5" thickBot="1" x14ac:dyDescent="0.65">
      <c r="B11" s="37" t="s">
        <v>15</v>
      </c>
      <c r="C11" s="38"/>
      <c r="D11" s="39"/>
    </row>
    <row r="12" spans="2:7" ht="16" x14ac:dyDescent="0.4">
      <c r="B12" s="11" t="s">
        <v>12</v>
      </c>
      <c r="C12" s="7"/>
      <c r="D12" s="19">
        <v>1500</v>
      </c>
    </row>
    <row r="13" spans="2:7" ht="16" x14ac:dyDescent="0.4">
      <c r="B13" s="12" t="s">
        <v>13</v>
      </c>
      <c r="C13" s="8"/>
      <c r="D13" s="20">
        <v>8.9999999999999993E-3</v>
      </c>
    </row>
    <row r="14" spans="2:7" ht="16.5" thickBot="1" x14ac:dyDescent="0.45">
      <c r="B14" s="13" t="s">
        <v>14</v>
      </c>
      <c r="C14" s="14"/>
      <c r="D14" s="21">
        <f>D12*30%</f>
        <v>450</v>
      </c>
    </row>
    <row r="15" spans="2:7" ht="15" thickBot="1" x14ac:dyDescent="0.4"/>
    <row r="16" spans="2:7" ht="30.5" customHeight="1" thickBot="1" x14ac:dyDescent="0.65">
      <c r="B16" s="34" t="s">
        <v>16</v>
      </c>
      <c r="C16" s="35"/>
      <c r="D16" s="36"/>
      <c r="G16" s="4"/>
    </row>
    <row r="17" spans="1:4" ht="16" x14ac:dyDescent="0.4">
      <c r="B17" s="11" t="s">
        <v>0</v>
      </c>
      <c r="C17" s="7"/>
      <c r="D17" s="33">
        <v>500</v>
      </c>
    </row>
    <row r="18" spans="1:4" ht="16" x14ac:dyDescent="0.4">
      <c r="B18" s="12" t="s">
        <v>1</v>
      </c>
      <c r="C18" s="8"/>
      <c r="D18" s="28">
        <v>5</v>
      </c>
    </row>
    <row r="19" spans="1:4" ht="16" x14ac:dyDescent="0.4">
      <c r="B19" s="11" t="s">
        <v>2</v>
      </c>
      <c r="C19" s="7"/>
      <c r="D19" s="29">
        <v>1.0789999999999999E-2</v>
      </c>
    </row>
    <row r="20" spans="1:4" ht="16" x14ac:dyDescent="0.4">
      <c r="B20" s="17" t="s">
        <v>3</v>
      </c>
      <c r="C20" s="16"/>
      <c r="D20" s="9">
        <f>FV(taxa_mensal,qta_anos*12,aporte*-1)</f>
        <v>41888.456999243819</v>
      </c>
    </row>
    <row r="21" spans="1:4" ht="16.5" thickBot="1" x14ac:dyDescent="0.45">
      <c r="B21" s="6" t="s">
        <v>4</v>
      </c>
      <c r="C21" s="15"/>
      <c r="D21" s="10">
        <f>patrimonio*rendimento_carteira</f>
        <v>376.99611299319434</v>
      </c>
    </row>
    <row r="22" spans="1:4" ht="15" thickBot="1" x14ac:dyDescent="0.4"/>
    <row r="23" spans="1:4" ht="26.5" thickBot="1" x14ac:dyDescent="0.4">
      <c r="B23" s="31" t="s">
        <v>10</v>
      </c>
      <c r="C23" s="30"/>
      <c r="D23" s="3" t="s">
        <v>11</v>
      </c>
    </row>
    <row r="24" spans="1:4" ht="16" x14ac:dyDescent="0.4">
      <c r="A24" s="2">
        <v>2</v>
      </c>
      <c r="B24" s="18" t="s">
        <v>5</v>
      </c>
      <c r="C24" s="22">
        <f>FV($D$19,$A24*12,$D$17*-1)</f>
        <v>13613.813648822608</v>
      </c>
      <c r="D24" s="23">
        <f>C24*rendimento_carteira</f>
        <v>122.52432283940347</v>
      </c>
    </row>
    <row r="25" spans="1:4" ht="16" x14ac:dyDescent="0.4">
      <c r="A25" s="2">
        <v>5</v>
      </c>
      <c r="B25" s="18" t="s">
        <v>6</v>
      </c>
      <c r="C25" s="24">
        <f>FV($D$19,$A25*12,$D$17*-1)</f>
        <v>41888.456999243819</v>
      </c>
      <c r="D25" s="25">
        <f>C25*rendimento_carteira</f>
        <v>376.99611299319434</v>
      </c>
    </row>
    <row r="26" spans="1:4" ht="16" x14ac:dyDescent="0.4">
      <c r="A26" s="2">
        <v>10</v>
      </c>
      <c r="B26" s="18" t="s">
        <v>7</v>
      </c>
      <c r="C26" s="24">
        <f>FV($D$19,$A26*12,$D$17*-1)</f>
        <v>121642.1062650861</v>
      </c>
      <c r="D26" s="25">
        <f>C26*rendimento_carteira</f>
        <v>1094.7789563857748</v>
      </c>
    </row>
    <row r="27" spans="1:4" ht="16" x14ac:dyDescent="0.4">
      <c r="A27" s="2">
        <v>20</v>
      </c>
      <c r="B27" s="18" t="s">
        <v>8</v>
      </c>
      <c r="C27" s="24">
        <f>FV($D$19,$A27*12,$D$17*-1)</f>
        <v>562599.20004854025</v>
      </c>
      <c r="D27" s="25">
        <f>C27*rendimento_carteira</f>
        <v>5063.3928004368618</v>
      </c>
    </row>
    <row r="28" spans="1:4" ht="16.5" thickBot="1" x14ac:dyDescent="0.45">
      <c r="A28" s="2">
        <v>30</v>
      </c>
      <c r="B28" s="32" t="s">
        <v>9</v>
      </c>
      <c r="C28" s="26">
        <f>FV($D$19,$A28*12,$D$17*-1)</f>
        <v>2161084.8275023573</v>
      </c>
      <c r="D28" s="27">
        <f>C28*rendimento_carteira</f>
        <v>19449.763447521214</v>
      </c>
    </row>
    <row r="32" spans="1:4" x14ac:dyDescent="0.35">
      <c r="B32" s="40" t="s">
        <v>17</v>
      </c>
      <c r="C32" s="42" t="s">
        <v>29</v>
      </c>
      <c r="D32" s="40"/>
    </row>
    <row r="33" spans="2:4" x14ac:dyDescent="0.35">
      <c r="B33" s="44" t="s">
        <v>19</v>
      </c>
      <c r="C33" s="45">
        <f>aporte</f>
        <v>500</v>
      </c>
      <c r="D33" s="41"/>
    </row>
    <row r="35" spans="2:4" x14ac:dyDescent="0.35">
      <c r="B35" s="48" t="s">
        <v>20</v>
      </c>
      <c r="C35" s="48" t="s">
        <v>21</v>
      </c>
      <c r="D35" s="48" t="s">
        <v>22</v>
      </c>
    </row>
    <row r="36" spans="2:4" x14ac:dyDescent="0.35">
      <c r="B36" s="1" t="s">
        <v>23</v>
      </c>
      <c r="C36" s="43">
        <f>VLOOKUP($C$32&amp;"-"&amp;B36,Sheet2!A$1:D$20,4,FALSE)</f>
        <v>0.3</v>
      </c>
      <c r="D36" s="5">
        <f>C36*$C$33</f>
        <v>150</v>
      </c>
    </row>
    <row r="37" spans="2:4" x14ac:dyDescent="0.35">
      <c r="B37" s="1" t="s">
        <v>24</v>
      </c>
      <c r="C37" s="43">
        <f>VLOOKUP($C$32&amp;"-"&amp;B37,Sheet2!A$1:D$20,4,FALSE)</f>
        <v>0.5</v>
      </c>
      <c r="D37" s="5">
        <f>C37*$C$33</f>
        <v>250</v>
      </c>
    </row>
    <row r="38" spans="2:4" x14ac:dyDescent="0.35">
      <c r="B38" s="1" t="s">
        <v>25</v>
      </c>
      <c r="C38" s="43">
        <f>VLOOKUP($C$32&amp;"-"&amp;B38,Sheet2!A$1:D$20,4,FALSE)</f>
        <v>0.1</v>
      </c>
      <c r="D38" s="5">
        <f t="shared" ref="D37:D41" si="0">C38*$C$33</f>
        <v>50</v>
      </c>
    </row>
    <row r="39" spans="2:4" x14ac:dyDescent="0.35">
      <c r="B39" s="1" t="s">
        <v>26</v>
      </c>
      <c r="C39" s="43">
        <f>VLOOKUP($C$32&amp;"-"&amp;B39,Sheet2!A$1:D$20,4,FALSE)</f>
        <v>0.1</v>
      </c>
      <c r="D39" s="5">
        <f t="shared" si="0"/>
        <v>50</v>
      </c>
    </row>
    <row r="40" spans="2:4" x14ac:dyDescent="0.35">
      <c r="B40" s="1" t="s">
        <v>27</v>
      </c>
      <c r="C40" s="43">
        <f>VLOOKUP($C$32&amp;"-"&amp;B40,Sheet2!A$1:D$20,4,FALSE)</f>
        <v>0</v>
      </c>
      <c r="D40" s="5">
        <f t="shared" si="0"/>
        <v>0</v>
      </c>
    </row>
    <row r="41" spans="2:4" x14ac:dyDescent="0.35">
      <c r="B41" s="1" t="s">
        <v>28</v>
      </c>
      <c r="C41" s="43">
        <f>VLOOKUP($C$32&amp;"-"&amp;B41,Sheet2!A$1:D$20,4,FALSE)</f>
        <v>0</v>
      </c>
      <c r="D41" s="5">
        <f t="shared" si="0"/>
        <v>0</v>
      </c>
    </row>
    <row r="42" spans="2:4" x14ac:dyDescent="0.35">
      <c r="B42" s="47"/>
      <c r="C42" s="47"/>
      <c r="D42" s="46">
        <f>SUM(D36:D41)</f>
        <v>500</v>
      </c>
    </row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  <row r="56" customFormat="1" x14ac:dyDescent="0.35"/>
    <row r="57" customFormat="1" x14ac:dyDescent="0.35"/>
    <row r="58" customFormat="1" x14ac:dyDescent="0.35"/>
    <row r="59" customFormat="1" x14ac:dyDescent="0.35"/>
    <row r="60" customFormat="1" x14ac:dyDescent="0.35"/>
    <row r="61" customFormat="1" x14ac:dyDescent="0.35"/>
    <row r="62" customFormat="1" x14ac:dyDescent="0.35"/>
    <row r="63" customFormat="1" x14ac:dyDescent="0.35"/>
    <row r="64" customFormat="1" x14ac:dyDescent="0.35"/>
    <row r="65" customFormat="1" x14ac:dyDescent="0.35"/>
  </sheetData>
  <mergeCells count="10">
    <mergeCell ref="B16:D16"/>
    <mergeCell ref="B11:D11"/>
    <mergeCell ref="B18:C18"/>
    <mergeCell ref="B19:C19"/>
    <mergeCell ref="B20:C20"/>
    <mergeCell ref="B21:C21"/>
    <mergeCell ref="B12:C12"/>
    <mergeCell ref="B13:C13"/>
    <mergeCell ref="B14:C14"/>
    <mergeCell ref="B17:C17"/>
  </mergeCells>
  <dataValidations count="1">
    <dataValidation type="list" allowBlank="1" showInputMessage="1" showErrorMessage="1" sqref="C32" xr:uid="{F6073EDE-25C0-41E0-83CD-421F626A3174}">
      <formula1>"Conservador,Moderado,Agressivo"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FC836-D174-425F-954A-6C2BA0501F34}">
  <dimension ref="A2:I20"/>
  <sheetViews>
    <sheetView workbookViewId="0">
      <selection activeCell="D13" sqref="D13"/>
    </sheetView>
  </sheetViews>
  <sheetFormatPr defaultRowHeight="14.5" x14ac:dyDescent="0.35"/>
  <cols>
    <col min="1" max="1" width="27.08984375" bestFit="1" customWidth="1"/>
    <col min="2" max="2" width="11.54296875" bestFit="1" customWidth="1"/>
    <col min="3" max="3" width="15.36328125" bestFit="1" customWidth="1"/>
    <col min="8" max="8" width="15.90625" bestFit="1" customWidth="1"/>
    <col min="9" max="9" width="11.7265625" customWidth="1"/>
  </cols>
  <sheetData>
    <row r="2" spans="1:9" x14ac:dyDescent="0.35">
      <c r="A2" t="s">
        <v>32</v>
      </c>
      <c r="B2" s="1" t="s">
        <v>17</v>
      </c>
      <c r="C2" s="1" t="s">
        <v>30</v>
      </c>
      <c r="D2" s="1" t="s">
        <v>31</v>
      </c>
    </row>
    <row r="3" spans="1:9" x14ac:dyDescent="0.35">
      <c r="A3" t="str">
        <f>B3&amp;"-"&amp;C3</f>
        <v>Conservador-Papel</v>
      </c>
      <c r="B3" t="s">
        <v>29</v>
      </c>
      <c r="C3" s="1" t="s">
        <v>23</v>
      </c>
      <c r="D3" s="43">
        <v>0.3</v>
      </c>
      <c r="I3" t="s">
        <v>31</v>
      </c>
    </row>
    <row r="4" spans="1:9" x14ac:dyDescent="0.35">
      <c r="A4" t="str">
        <f t="shared" ref="A4:A20" si="0">B4&amp;"-"&amp;C4</f>
        <v>Conservador-Tijolo</v>
      </c>
      <c r="B4" t="s">
        <v>29</v>
      </c>
      <c r="C4" s="1" t="s">
        <v>24</v>
      </c>
      <c r="D4" s="43">
        <v>0.5</v>
      </c>
      <c r="H4" s="40" t="s">
        <v>34</v>
      </c>
      <c r="I4" s="40">
        <f>VLOOKUP(H4,$A:$D,4,FALSE)</f>
        <v>0.35</v>
      </c>
    </row>
    <row r="5" spans="1:9" x14ac:dyDescent="0.35">
      <c r="A5" t="str">
        <f t="shared" si="0"/>
        <v>Conservador-Híbridos</v>
      </c>
      <c r="B5" t="s">
        <v>29</v>
      </c>
      <c r="C5" s="1" t="s">
        <v>25</v>
      </c>
      <c r="D5" s="43">
        <v>0.1</v>
      </c>
    </row>
    <row r="6" spans="1:9" x14ac:dyDescent="0.35">
      <c r="A6" t="str">
        <f t="shared" si="0"/>
        <v>Conservador-FOFs</v>
      </c>
      <c r="B6" t="s">
        <v>29</v>
      </c>
      <c r="C6" s="1" t="s">
        <v>26</v>
      </c>
      <c r="D6" s="43">
        <v>0.1</v>
      </c>
    </row>
    <row r="7" spans="1:9" x14ac:dyDescent="0.35">
      <c r="A7" t="str">
        <f t="shared" si="0"/>
        <v>Conservador-Desenvolvimento</v>
      </c>
      <c r="B7" t="s">
        <v>29</v>
      </c>
      <c r="C7" s="1" t="s">
        <v>27</v>
      </c>
      <c r="D7" s="43">
        <v>0</v>
      </c>
    </row>
    <row r="8" spans="1:9" ht="15" thickBot="1" x14ac:dyDescent="0.4">
      <c r="A8" t="str">
        <f t="shared" si="0"/>
        <v>Conservador-Hotelarias</v>
      </c>
      <c r="B8" t="s">
        <v>29</v>
      </c>
      <c r="C8" s="1" t="s">
        <v>28</v>
      </c>
      <c r="D8" s="43">
        <v>0</v>
      </c>
    </row>
    <row r="9" spans="1:9" x14ac:dyDescent="0.35">
      <c r="A9" s="49" t="str">
        <f t="shared" si="0"/>
        <v>Moderado-Papel</v>
      </c>
      <c r="B9" s="50" t="s">
        <v>33</v>
      </c>
      <c r="C9" s="51" t="s">
        <v>23</v>
      </c>
      <c r="D9" s="52">
        <v>0.32</v>
      </c>
    </row>
    <row r="10" spans="1:9" x14ac:dyDescent="0.35">
      <c r="A10" t="str">
        <f t="shared" si="0"/>
        <v>Moderado-Tijolo</v>
      </c>
      <c r="B10" t="s">
        <v>33</v>
      </c>
      <c r="C10" s="1" t="s">
        <v>24</v>
      </c>
      <c r="D10" s="43">
        <v>0.35</v>
      </c>
    </row>
    <row r="11" spans="1:9" x14ac:dyDescent="0.35">
      <c r="A11" t="str">
        <f t="shared" si="0"/>
        <v>Moderado-Híbridos</v>
      </c>
      <c r="B11" t="s">
        <v>33</v>
      </c>
      <c r="C11" s="1" t="s">
        <v>25</v>
      </c>
      <c r="D11" s="43">
        <v>0.08</v>
      </c>
    </row>
    <row r="12" spans="1:9" x14ac:dyDescent="0.35">
      <c r="A12" t="str">
        <f t="shared" si="0"/>
        <v>Moderado-FOFs</v>
      </c>
      <c r="B12" t="s">
        <v>33</v>
      </c>
      <c r="C12" s="1" t="s">
        <v>26</v>
      </c>
      <c r="D12" s="43">
        <v>0.05</v>
      </c>
    </row>
    <row r="13" spans="1:9" x14ac:dyDescent="0.35">
      <c r="A13" t="str">
        <f t="shared" si="0"/>
        <v>Moderado-Desenvolvimento</v>
      </c>
      <c r="B13" t="s">
        <v>33</v>
      </c>
      <c r="C13" s="1" t="s">
        <v>27</v>
      </c>
      <c r="D13" s="43">
        <v>0.1</v>
      </c>
    </row>
    <row r="14" spans="1:9" ht="15" thickBot="1" x14ac:dyDescent="0.4">
      <c r="A14" t="str">
        <f t="shared" si="0"/>
        <v>Moderado-Hotelarias</v>
      </c>
      <c r="B14" t="s">
        <v>33</v>
      </c>
      <c r="C14" s="1" t="s">
        <v>28</v>
      </c>
      <c r="D14" s="43">
        <v>0.1</v>
      </c>
    </row>
    <row r="15" spans="1:9" x14ac:dyDescent="0.35">
      <c r="A15" s="49" t="str">
        <f t="shared" si="0"/>
        <v>Agressivo-Papel</v>
      </c>
      <c r="B15" s="49" t="s">
        <v>18</v>
      </c>
      <c r="C15" s="51" t="s">
        <v>23</v>
      </c>
      <c r="D15" s="52">
        <v>0.5</v>
      </c>
    </row>
    <row r="16" spans="1:9" x14ac:dyDescent="0.35">
      <c r="A16" t="str">
        <f t="shared" si="0"/>
        <v>Agressivo-Tijolo</v>
      </c>
      <c r="B16" t="s">
        <v>18</v>
      </c>
      <c r="C16" s="1" t="s">
        <v>24</v>
      </c>
      <c r="D16" s="43">
        <v>0.1</v>
      </c>
    </row>
    <row r="17" spans="1:4" x14ac:dyDescent="0.35">
      <c r="A17" t="str">
        <f t="shared" si="0"/>
        <v>Agressivo-Híbridos</v>
      </c>
      <c r="B17" t="s">
        <v>18</v>
      </c>
      <c r="C17" s="1" t="s">
        <v>25</v>
      </c>
      <c r="D17" s="43">
        <v>0.05</v>
      </c>
    </row>
    <row r="18" spans="1:4" x14ac:dyDescent="0.35">
      <c r="A18" t="str">
        <f t="shared" si="0"/>
        <v>Agressivo-FOFs</v>
      </c>
      <c r="B18" t="s">
        <v>18</v>
      </c>
      <c r="C18" s="1" t="s">
        <v>26</v>
      </c>
      <c r="D18" s="43">
        <v>0.05</v>
      </c>
    </row>
    <row r="19" spans="1:4" x14ac:dyDescent="0.35">
      <c r="A19" t="str">
        <f t="shared" si="0"/>
        <v>Agressivo-Desenvolvimento</v>
      </c>
      <c r="B19" t="s">
        <v>18</v>
      </c>
      <c r="C19" s="1" t="s">
        <v>27</v>
      </c>
      <c r="D19" s="43">
        <v>0.2</v>
      </c>
    </row>
    <row r="20" spans="1:4" x14ac:dyDescent="0.35">
      <c r="A20" t="str">
        <f t="shared" si="0"/>
        <v>Agressivo-Hotelarias</v>
      </c>
      <c r="B20" t="s">
        <v>18</v>
      </c>
      <c r="C20" s="1" t="s">
        <v>28</v>
      </c>
      <c r="D20" s="43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Sheet1</vt:lpstr>
      <vt:lpstr>Sheet2</vt:lpstr>
      <vt:lpstr>aporte</vt:lpstr>
      <vt:lpstr>patrimonio</vt:lpstr>
      <vt:lpstr>qta_anos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Fraga (Omnicom)</dc:creator>
  <cp:lastModifiedBy>Beatriz Fraga (Omnicom)</cp:lastModifiedBy>
  <dcterms:created xsi:type="dcterms:W3CDTF">2026-09-19T13:48:27Z</dcterms:created>
  <dcterms:modified xsi:type="dcterms:W3CDTF">2026-09-19T15:40:08Z</dcterms:modified>
</cp:coreProperties>
</file>